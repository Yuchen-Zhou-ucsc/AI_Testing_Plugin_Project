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0" windowHeight="12680" activeTab="2"/>
  </bookViews>
  <sheets>
    <sheet name="测试摘要" sheetId="1" r:id="rId1"/>
    <sheet name="测试用例" sheetId="2" r:id="rId2"/>
    <sheet name="手工测试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<sst xmlns="http://schemas.openxmlformats.org/spreadsheetml/2006/main" count="158" uniqueCount="115">
  <si>
    <t>AI 自动化测试执行摘要</t>
  </si>
  <si>
    <t>项目名称</t>
  </si>
  <si>
    <t>自动化测试全流程插件原型 + React + Flask 登录注册 Demo 系统</t>
  </si>
  <si>
    <t>测试需求</t>
  </si>
  <si>
    <t>用户注册时，用户名和密码均为必填项。用户名长度必须不少于6个字符，并且不能与已有用户名重复。用户名或密码为空、用户名少于6个字符时，系统应拒绝注册并返回HTTP 400；用户名重复时应返回HTTP 409；当用户名长度不少于6个字符、密码非空且用户名未被使用时，系统应注册成功并返回HTTP 201。</t>
  </si>
  <si>
    <t>执行接口</t>
  </si>
  <si>
    <t>POST /api/register</t>
  </si>
  <si>
    <t>测试方式</t>
  </si>
  <si>
    <t>AI生成测试用例 + Flask接口自动执行</t>
  </si>
  <si>
    <t>执行时间</t>
  </si>
  <si>
    <t>2026-08-13 13:40</t>
  </si>
  <si>
    <t>测试总数</t>
  </si>
  <si>
    <t>通过数量</t>
  </si>
  <si>
    <t>失败数量</t>
  </si>
  <si>
    <t>通过率</t>
  </si>
  <si>
    <t>错误数量</t>
  </si>
  <si>
    <t>测试结论</t>
  </si>
  <si>
    <t>结果说明</t>
  </si>
  <si>
    <t>TC-004 未通过：需求要求少于6个字符的用户名应被拒绝并返回 HTTP 400，但接口实际注册成功并返回 HTTP 201。该结果与项目预埋的 REG-002 用户名长度校验 Bug 一致。</t>
  </si>
  <si>
    <t>AI 生成测试用例与真实执行结果</t>
  </si>
  <si>
    <t>执行时间：2026-08-13 13:40    测试方式：自动化接口测试    接口：POST /api/register</t>
  </si>
  <si>
    <t>测试编号</t>
  </si>
  <si>
    <t>关联需求</t>
  </si>
  <si>
    <t>测试场景</t>
  </si>
  <si>
    <t>前置条件</t>
  </si>
  <si>
    <t>测试步骤</t>
  </si>
  <si>
    <t>请求方法</t>
  </si>
  <si>
    <t>请求地址</t>
  </si>
  <si>
    <t>用户名</t>
  </si>
  <si>
    <t>测试密码</t>
  </si>
  <si>
    <t>预期结果</t>
  </si>
  <si>
    <t>预期状态码</t>
  </si>
  <si>
    <t>实际响应</t>
  </si>
  <si>
    <t>测试状态</t>
  </si>
  <si>
    <t>实际状态码</t>
  </si>
  <si>
    <t>错误信息</t>
  </si>
  <si>
    <t>TC-001</t>
  </si>
  <si>
    <t>REG-005</t>
  </si>
  <si>
    <t>自动化</t>
  </si>
  <si>
    <t>使用长度刚好为6个字符的未注册用户名和非空密码注册，验证用户名长度边界值通过。</t>
  </si>
  <si>
    <t>用户名"q7m2x9"未在系统中注册，注册接口可正常访问。</t>
  </si>
  <si>
    <t>1. 发送POST请求到注册接口。
2. 提交用户名和密码。
3. 检查接口返回的HTTP状态码及注册结果。</t>
  </si>
  <si>
    <t>POST</t>
  </si>
  <si>
    <t>/api/register</t>
  </si>
  <si>
    <t>q7m2x9</t>
  </si>
  <si>
    <t>Rk8!vP3#sL</t>
  </si>
  <si>
    <t>系统接受注册请求，创建新用户，并返回HTTP 201。</t>
  </si>
  <si>
    <t>{"message":"Registration successful","status":"success"}</t>
  </si>
  <si>
    <t>Pass</t>
  </si>
  <si>
    <t/>
  </si>
  <si>
    <t>TC-002</t>
  </si>
  <si>
    <t>使用长度超过6个字符的未注册用户名和非空密码注册，验证正常注册流程。</t>
  </si>
  <si>
    <t>用户名"n4z8k2p6"未在系统中注册，注册接口可正常访问。</t>
  </si>
  <si>
    <t>1. 发送POST请求到注册接口。
2. 提交有效的用户名和非空密码。
3. 检查接口返回的HTTP状态码及注册结果。</t>
  </si>
  <si>
    <t>n4z8k2p6</t>
  </si>
  <si>
    <t>T9#cW2!mQa</t>
  </si>
  <si>
    <t>系统注册成功，创建新用户，并返回HTTP 201。</t>
  </si>
  <si>
    <t>TC-003</t>
  </si>
  <si>
    <t>REG-001 / REG-003</t>
  </si>
  <si>
    <t>用户名和密码均为空，验证必填项校验。</t>
  </si>
  <si>
    <t>注册接口可正常访问。</t>
  </si>
  <si>
    <t>1. 发送POST请求到注册接口。
2. 提交空用户名和空密码。
3. 检查接口返回的HTTP状态码及错误信息。</t>
  </si>
  <si>
    <t>系统拒绝注册，并返回HTTP 400。</t>
  </si>
  <si>
    <t>{"message":"Username and password are required","status":"error"}</t>
  </si>
  <si>
    <t>TC-004</t>
  </si>
  <si>
    <t>REG-002</t>
  </si>
  <si>
    <t>用户名长度少于6个字符且密码非空，验证用户名最小长度校验。</t>
  </si>
  <si>
    <t>1. 发送POST请求到注册接口。
2. 提交长度少于6个字符的用户名和非空密码。
3. 检查接口返回的HTTP状态码及错误信息。</t>
  </si>
  <si>
    <t>r5x2</t>
  </si>
  <si>
    <t>Yp6$kL9@vN</t>
  </si>
  <si>
    <t>Fail</t>
  </si>
  <si>
    <t>TC-005</t>
  </si>
  <si>
    <t>REG-004</t>
  </si>
  <si>
    <t>使用已存在的用户名和非空密码注册，验证用户名重复校验。</t>
  </si>
  <si>
    <t>用户名"h3v7q9m2"已在系统中注册，注册接口可正常访问。</t>
  </si>
  <si>
    <t>1. 发送POST请求到注册接口。
2. 提交已存在的用户名和非空密码。
3. 检查接口返回的HTTP状态码及错误信息。</t>
  </si>
  <si>
    <t>h3v7q9m2</t>
  </si>
  <si>
    <t>B4!sN8#xQe</t>
  </si>
  <si>
    <t>系统拒绝注册，并返回HTTP 409。</t>
  </si>
  <si>
    <t>{"message":"Username already exists","status":"error"}</t>
  </si>
  <si>
    <t>手工测试真实结果</t>
  </si>
  <si>
    <t>执行时间：2026-08-12    测试方式：手工测试</t>
  </si>
  <si>
    <t>测试模块</t>
  </si>
  <si>
    <t>测试时间</t>
  </si>
  <si>
    <t>测试人员</t>
  </si>
  <si>
    <t>测试环境</t>
  </si>
  <si>
    <t>操作步骤</t>
  </si>
  <si>
    <t>测试数据</t>
  </si>
  <si>
    <t>实际结果</t>
  </si>
  <si>
    <t>截图/证据</t>
  </si>
  <si>
    <t>MT-001</t>
  </si>
  <si>
    <t>用户注册</t>
  </si>
  <si>
    <t>Yuchen Zhou</t>
  </si>
  <si>
    <t>macOS + Chrome；React localhost:5173；Flask 127.0.0.1:5000</t>
  </si>
  <si>
    <t>系统正常运行，用户名 manual81301 尚未注册</t>
  </si>
  <si>
    <t>1. 打开注册页面；
2. 输入用户名和密码；
3. 点击注册；
4. 观察页面提示和跳转结果</t>
  </si>
  <si>
    <t>username="manual81301"；password="Manual@813!"</t>
  </si>
  <si>
    <t>页面提示注册成功并跳转至登录页面</t>
  </si>
  <si>
    <t>页面显示“Registration successful”，并跳转至 /login</t>
  </si>
  <si>
    <t>screenshots/MT-001_register_success.png</t>
  </si>
  <si>
    <t>MT-002</t>
  </si>
  <si>
    <t>LOGIN-001</t>
  </si>
  <si>
    <t>用户登录</t>
  </si>
  <si>
    <t>账号 manual81301 已成功注册，系统正常运行</t>
  </si>
  <si>
    <t>1. 打开登录页面；
2. 输入正确用户名和密码；
3. 点击登录；
4. 观察提示和页面跳转</t>
  </si>
  <si>
    <t>页面提示登录成功并进入欢迎页面</t>
  </si>
  <si>
    <t>页面显示“Login successful，欢迎 manual81301”，并进入登录成功页面</t>
  </si>
  <si>
    <t>screenshots/MT-002_login_success.png</t>
  </si>
  <si>
    <t>MT-003</t>
  </si>
  <si>
    <t>系统正常运行，5位用户名 m813x 尚未注册</t>
  </si>
  <si>
    <t>1. 打开注册页面；
2. 输入5位用户名和密码；
3. 点击注册；
4. 观察页面提示和跳转</t>
  </si>
  <si>
    <t>username="m813x"；password="Manual@813!"</t>
  </si>
  <si>
    <t>系统应拒绝注册，提示用户名长度不能少于6位，并停留在注册页面</t>
  </si>
  <si>
    <t>系统显示“Registration successful”，接受5位用户名注册并跳转至登录页面</t>
  </si>
  <si>
    <t>screenshots/MT-003_short_username_bug.png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</si>
</sst>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sz val="11"/>
      <color rgb="FF1F1F1F"/>
      <name val="Carlito"/>
      <charset val="134"/>
    </font>
    <font>
      <b/>
      <sz val="11"/>
      <color theme="0"/>
      <name val="Carlito"/>
      <charset val="134"/>
    </font>
    <font>
      <b/>
      <sz val="11"/>
      <color rgb="FFFFFFFF"/>
      <name val="Carlito"/>
      <charset val="134"/>
    </font>
    <font>
      <sz val="10"/>
      <color rgb="FF1F1F1F"/>
      <name val="Carlito"/>
      <charset val="134"/>
    </font>
    <font>
      <b/>
      <sz val="11"/>
      <color rgb="FF1F1F1F"/>
      <name val="Carlito"/>
      <charset val="134"/>
    </font>
    <font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0" fillId="0" borderId="0" xfId="49" applyAlignment="1">
      <alignment horizontal="center" vertical="center" wrapText="1"/>
    </xf>
    <xf numFmtId="0" fontId="0" fillId="0" borderId="0" xfId="49" applyAlignment="1">
      <alignment horizontal="left" vertical="center" wrapText="1"/>
    </xf>
    <xf numFmtId="0" fontId="0" fillId="0" borderId="0" xfId="49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3" fillId="4" borderId="0" xfId="49" applyFont="1" applyFill="1" applyAlignment="1">
      <alignment horizontal="left" vertical="center" wrapText="1"/>
    </xf>
    <xf numFmtId="14" fontId="0" fillId="0" borderId="0" xfId="49" applyNumberFormat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left" vertical="center"/>
    </xf>
    <xf numFmtId="0" fontId="4" fillId="4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vertical="center" wrapText="1"/>
    </xf>
    <xf numFmtId="0" fontId="6" fillId="3" borderId="2" xfId="49" applyNumberFormat="1" applyFont="1" applyFill="1" applyBorder="1" applyAlignment="1">
      <alignment vertical="center" wrapText="1"/>
    </xf>
    <xf numFmtId="0" fontId="2" fillId="0" borderId="2" xfId="49" applyNumberFormat="1" applyFont="1" applyFill="1" applyBorder="1" applyAlignment="1">
      <alignment vertical="center" wrapText="1"/>
    </xf>
    <xf numFmtId="0" fontId="4" fillId="4" borderId="2" xfId="49" applyNumberFormat="1" applyFont="1" applyFill="1" applyBorder="1" applyAlignment="1">
      <alignment horizontal="center" vertical="center"/>
    </xf>
    <xf numFmtId="0" fontId="6" fillId="5" borderId="2" xfId="49" applyNumberFormat="1" applyFont="1" applyFill="1" applyBorder="1" applyAlignment="1">
      <alignment horizontal="center" vertical="center"/>
    </xf>
    <xf numFmtId="9" fontId="6" fillId="5" borderId="2" xfId="49" applyNumberFormat="1" applyFont="1" applyFill="1" applyBorder="1" applyAlignment="1">
      <alignment horizontal="center" vertical="center"/>
    </xf>
    <xf numFmtId="0" fontId="6" fillId="3" borderId="3" xfId="49" applyNumberFormat="1" applyFont="1" applyFill="1" applyBorder="1"/>
    <xf numFmtId="0" fontId="6" fillId="3" borderId="4" xfId="49" applyNumberFormat="1" applyFont="1" applyFill="1" applyBorder="1"/>
    <xf numFmtId="0" fontId="6" fillId="3" borderId="5" xfId="49" applyNumberFormat="1" applyFont="1" applyFill="1" applyBorder="1"/>
    <xf numFmtId="0" fontId="7" fillId="6" borderId="6" xfId="49" applyNumberFormat="1" applyFont="1" applyFill="1" applyBorder="1" applyAlignment="1">
      <alignment vertical="center" wrapText="1"/>
    </xf>
    <xf numFmtId="0" fontId="7" fillId="6" borderId="0" xfId="49" applyNumberFormat="1" applyFont="1" applyFill="1" applyBorder="1" applyAlignment="1">
      <alignment vertical="center" wrapText="1"/>
    </xf>
    <xf numFmtId="0" fontId="7" fillId="6" borderId="7" xfId="49" applyNumberFormat="1" applyFont="1" applyFill="1" applyBorder="1" applyAlignment="1">
      <alignment vertical="center" wrapText="1"/>
    </xf>
    <xf numFmtId="0" fontId="7" fillId="6" borderId="8" xfId="49" applyNumberFormat="1" applyFont="1" applyFill="1" applyBorder="1" applyAlignment="1">
      <alignment vertical="center" wrapText="1"/>
    </xf>
    <xf numFmtId="0" fontId="7" fillId="6" borderId="9" xfId="49" applyNumberFormat="1" applyFont="1" applyFill="1" applyBorder="1" applyAlignment="1">
      <alignment vertical="center" wrapText="1"/>
    </xf>
    <xf numFmtId="0" fontId="7" fillId="6" borderId="1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5B9B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workbookViewId="0">
      <selection activeCell="A1" sqref="A1:F1"/>
    </sheetView>
  </sheetViews>
  <sheetFormatPr defaultColWidth="9" defaultRowHeight="16.8" outlineLevelCol="5"/>
  <cols>
    <col min="1" max="1" width="16" customWidth="1"/>
    <col min="2" max="2" width="62" customWidth="1"/>
    <col min="3" max="5" width="16" customWidth="1"/>
    <col min="6" max="6" width="24" customWidth="1"/>
  </cols>
  <sheetData>
    <row r="1" ht="34" customHeight="1" spans="1:6">
      <c r="A1" s="4" t="s">
        <v>0</v>
      </c>
      <c r="B1" s="4"/>
      <c r="C1" s="4"/>
      <c r="D1" s="4"/>
      <c r="E1" s="4"/>
      <c r="F1" s="4"/>
    </row>
    <row r="3" ht="30" customHeight="1" spans="1:6">
      <c r="A3" s="14" t="s">
        <v>1</v>
      </c>
      <c r="B3" s="15" t="s">
        <v>2</v>
      </c>
    </row>
    <row r="4" ht="74" customHeight="1" spans="1:6">
      <c r="A4" s="14" t="s">
        <v>3</v>
      </c>
      <c r="B4" s="15" t="s">
        <v>4</v>
      </c>
    </row>
    <row r="5" ht="30" customHeight="1" spans="1:6">
      <c r="A5" s="14" t="s">
        <v>5</v>
      </c>
      <c r="B5" s="15" t="s">
        <v>6</v>
      </c>
    </row>
    <row r="6" ht="30" customHeight="1" spans="1:6">
      <c r="A6" s="14" t="s">
        <v>7</v>
      </c>
      <c r="B6" s="15" t="s">
        <v>8</v>
      </c>
    </row>
    <row r="7" ht="30" customHeight="1" spans="1:6">
      <c r="A7" s="14" t="s">
        <v>9</v>
      </c>
      <c r="B7" s="15" t="s">
        <v>10</v>
      </c>
    </row>
    <row r="9" ht="28" customHeight="1" spans="1:6">
      <c r="A9" s="16" t="s">
        <v>11</v>
      </c>
      <c r="B9" s="16" t="s">
        <v>12</v>
      </c>
      <c r="C9" s="16" t="s">
        <v>13</v>
      </c>
      <c r="D9" s="16" t="s">
        <v>14</v>
      </c>
      <c r="E9" s="16" t="s">
        <v>15</v>
      </c>
      <c r="F9" s="16" t="s">
        <v>16</v>
      </c>
    </row>
    <row r="10" ht="28" customHeight="1" spans="1:6">
      <c r="A10" s="17">
        <f>COUNTA(测试用例!$A$4:$A$8)</f>
        <v>5</v>
      </c>
      <c r="B10" s="17">
        <f>COUNTIF(测试用例!$N$4:$N$8,"Pass")</f>
        <v>4</v>
      </c>
      <c r="C10" s="17">
        <f>COUNTIF(测试用例!$N$4:$N$8,"Fail")</f>
        <v>1</v>
      </c>
      <c r="D10" s="18">
        <f>IF(A10=0,0,B10/A10)</f>
        <v>0.8</v>
      </c>
      <c r="E10" s="17">
        <f>COUNTIF(测试用例!$N$4:$N$8,"Error")</f>
        <v>0</v>
      </c>
      <c r="F10" s="17" t="str">
        <f>IF(C10&gt;0,"发现功能性问题",IF(E10&gt;0,"存在执行错误","全部通过"))</f>
        <v>发现功能性问题</v>
      </c>
    </row>
    <row r="12" spans="1:6">
      <c r="A12" s="19" t="s">
        <v>17</v>
      </c>
      <c r="B12" s="20"/>
      <c r="C12" s="20"/>
      <c r="D12" s="20"/>
      <c r="E12" s="20"/>
      <c r="F12" s="21"/>
    </row>
    <row r="13" spans="1:6">
      <c r="A13" s="22" t="s">
        <v>18</v>
      </c>
      <c r="B13" s="23"/>
      <c r="C13" s="23"/>
      <c r="D13" s="23"/>
      <c r="E13" s="23"/>
      <c r="F13" s="24"/>
    </row>
    <row r="14" spans="1:6">
      <c r="A14" s="22"/>
      <c r="B14" s="23"/>
      <c r="C14" s="23"/>
      <c r="D14" s="23"/>
      <c r="E14" s="23"/>
      <c r="F14" s="24"/>
    </row>
    <row r="15" spans="1:6">
      <c r="A15" s="25"/>
      <c r="B15" s="26"/>
      <c r="C15" s="26"/>
      <c r="D15" s="26"/>
      <c r="E15" s="26"/>
      <c r="F15" s="27"/>
    </row>
  </sheetData>
  <mergeCells count="3">
    <mergeCell ref="A1:F1"/>
    <mergeCell ref="A12:F12"/>
    <mergeCell ref="A13:F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showGridLines="0" topLeftCell="D1" workbookViewId="0">
      <selection activeCell="A1" sqref="$A1:$XFD1"/>
    </sheetView>
  </sheetViews>
  <sheetFormatPr defaultColWidth="9" defaultRowHeight="16.8" outlineLevelRow="7"/>
  <cols>
    <col min="1" max="1" width="12" customWidth="1"/>
    <col min="2" max="2" width="20" customWidth="1"/>
    <col min="3" max="3" width="12" customWidth="1"/>
    <col min="4" max="4" width="42" customWidth="1"/>
    <col min="5" max="5" width="38" customWidth="1"/>
    <col min="6" max="6" width="44" customWidth="1"/>
    <col min="7" max="7" width="12" customWidth="1"/>
    <col min="8" max="8" width="20" customWidth="1"/>
    <col min="9" max="9" width="16" customWidth="1"/>
    <col min="10" max="10" width="18" customWidth="1"/>
    <col min="11" max="11" width="34" customWidth="1"/>
    <col min="12" max="12" width="14" customWidth="1"/>
    <col min="13" max="13" width="42" customWidth="1"/>
    <col min="14" max="14" width="12" customWidth="1"/>
    <col min="15" max="15" width="14" customWidth="1"/>
    <col min="16" max="16" width="20" customWidth="1"/>
  </cols>
  <sheetData>
    <row r="1" ht="34" customHeight="1" spans="1:16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10" t="s">
        <v>20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ht="32" customHeight="1" spans="1:16">
      <c r="A3" s="11" t="s">
        <v>21</v>
      </c>
      <c r="B3" s="11" t="s">
        <v>22</v>
      </c>
      <c r="C3" s="11" t="s">
        <v>7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  <c r="K3" s="11" t="s">
        <v>30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</row>
    <row r="4" ht="96" customHeight="1" spans="1:16">
      <c r="A4" s="12" t="s">
        <v>36</v>
      </c>
      <c r="B4" s="12" t="s">
        <v>37</v>
      </c>
      <c r="C4" s="12" t="s">
        <v>38</v>
      </c>
      <c r="D4" s="13" t="s">
        <v>39</v>
      </c>
      <c r="E4" s="13" t="s">
        <v>40</v>
      </c>
      <c r="F4" s="13" t="s">
        <v>41</v>
      </c>
      <c r="G4" s="12" t="s">
        <v>42</v>
      </c>
      <c r="H4" s="12" t="s">
        <v>43</v>
      </c>
      <c r="I4" s="12" t="s">
        <v>44</v>
      </c>
      <c r="J4" s="12" t="s">
        <v>45</v>
      </c>
      <c r="K4" s="13" t="s">
        <v>46</v>
      </c>
      <c r="L4" s="12">
        <v>201</v>
      </c>
      <c r="M4" s="12" t="s">
        <v>47</v>
      </c>
      <c r="N4" s="12" t="s">
        <v>48</v>
      </c>
      <c r="O4" s="12">
        <v>201</v>
      </c>
      <c r="P4" s="12" t="s">
        <v>49</v>
      </c>
    </row>
    <row r="5" ht="96" customHeight="1" spans="1:16">
      <c r="A5" s="12" t="s">
        <v>50</v>
      </c>
      <c r="B5" s="12" t="s">
        <v>37</v>
      </c>
      <c r="C5" s="12" t="s">
        <v>38</v>
      </c>
      <c r="D5" s="13" t="s">
        <v>51</v>
      </c>
      <c r="E5" s="13" t="s">
        <v>52</v>
      </c>
      <c r="F5" s="13" t="s">
        <v>53</v>
      </c>
      <c r="G5" s="12" t="s">
        <v>42</v>
      </c>
      <c r="H5" s="12" t="s">
        <v>43</v>
      </c>
      <c r="I5" s="12" t="s">
        <v>54</v>
      </c>
      <c r="J5" s="12" t="s">
        <v>55</v>
      </c>
      <c r="K5" s="13" t="s">
        <v>56</v>
      </c>
      <c r="L5" s="12">
        <v>201</v>
      </c>
      <c r="M5" s="12" t="s">
        <v>47</v>
      </c>
      <c r="N5" s="12" t="s">
        <v>48</v>
      </c>
      <c r="O5" s="12">
        <v>201</v>
      </c>
      <c r="P5" s="12" t="s">
        <v>49</v>
      </c>
    </row>
    <row r="6" ht="96" customHeight="1" spans="1:16">
      <c r="A6" s="12" t="s">
        <v>57</v>
      </c>
      <c r="B6" s="12" t="s">
        <v>58</v>
      </c>
      <c r="C6" s="12" t="s">
        <v>38</v>
      </c>
      <c r="D6" s="13" t="s">
        <v>59</v>
      </c>
      <c r="E6" s="13" t="s">
        <v>60</v>
      </c>
      <c r="F6" s="13" t="s">
        <v>61</v>
      </c>
      <c r="G6" s="12" t="s">
        <v>42</v>
      </c>
      <c r="H6" s="12" t="s">
        <v>43</v>
      </c>
      <c r="I6" s="12" t="s">
        <v>49</v>
      </c>
      <c r="J6" s="12" t="s">
        <v>49</v>
      </c>
      <c r="K6" s="13" t="s">
        <v>62</v>
      </c>
      <c r="L6" s="12">
        <v>400</v>
      </c>
      <c r="M6" s="12" t="s">
        <v>63</v>
      </c>
      <c r="N6" s="12" t="s">
        <v>48</v>
      </c>
      <c r="O6" s="12">
        <v>400</v>
      </c>
      <c r="P6" s="12" t="s">
        <v>49</v>
      </c>
    </row>
    <row r="7" ht="96" customHeight="1" spans="1:16">
      <c r="A7" s="12" t="s">
        <v>64</v>
      </c>
      <c r="B7" s="12" t="s">
        <v>65</v>
      </c>
      <c r="C7" s="12" t="s">
        <v>38</v>
      </c>
      <c r="D7" s="13" t="s">
        <v>66</v>
      </c>
      <c r="E7" s="13" t="s">
        <v>60</v>
      </c>
      <c r="F7" s="13" t="s">
        <v>67</v>
      </c>
      <c r="G7" s="12" t="s">
        <v>42</v>
      </c>
      <c r="H7" s="12" t="s">
        <v>43</v>
      </c>
      <c r="I7" s="12" t="s">
        <v>68</v>
      </c>
      <c r="J7" s="12" t="s">
        <v>69</v>
      </c>
      <c r="K7" s="13" t="s">
        <v>62</v>
      </c>
      <c r="L7" s="12">
        <v>400</v>
      </c>
      <c r="M7" s="12" t="s">
        <v>47</v>
      </c>
      <c r="N7" s="12" t="s">
        <v>70</v>
      </c>
      <c r="O7" s="12">
        <v>201</v>
      </c>
      <c r="P7" s="12" t="s">
        <v>49</v>
      </c>
    </row>
    <row r="8" ht="96" customHeight="1" spans="1:16">
      <c r="A8" s="12" t="s">
        <v>71</v>
      </c>
      <c r="B8" s="12" t="s">
        <v>72</v>
      </c>
      <c r="C8" s="12" t="s">
        <v>38</v>
      </c>
      <c r="D8" s="13" t="s">
        <v>73</v>
      </c>
      <c r="E8" s="13" t="s">
        <v>74</v>
      </c>
      <c r="F8" s="13" t="s">
        <v>75</v>
      </c>
      <c r="G8" s="12" t="s">
        <v>42</v>
      </c>
      <c r="H8" s="12" t="s">
        <v>43</v>
      </c>
      <c r="I8" s="12" t="s">
        <v>76</v>
      </c>
      <c r="J8" s="12" t="s">
        <v>77</v>
      </c>
      <c r="K8" s="13" t="s">
        <v>78</v>
      </c>
      <c r="L8" s="12">
        <v>409</v>
      </c>
      <c r="M8" s="12" t="s">
        <v>79</v>
      </c>
      <c r="N8" s="12" t="s">
        <v>48</v>
      </c>
      <c r="O8" s="12">
        <v>409</v>
      </c>
      <c r="P8" s="12" t="s">
        <v>49</v>
      </c>
    </row>
  </sheetData>
  <mergeCells count="2">
    <mergeCell ref="A1:P1"/>
    <mergeCell ref="A2:P2"/>
  </mergeCells>
  <conditionalFormatting sqref="N4:N8">
    <cfRule type="containsText" dxfId="0" priority="1" operator="between" text="Pass">
      <formula>NOT(ISERROR(SEARCH("Pass",N4)))</formula>
    </cfRule>
    <cfRule type="containsText" dxfId="1" priority="2" operator="between" text="Fail">
      <formula>NOT(ISERROR(SEARCH("Fail",N4)))</formula>
    </cfRule>
    <cfRule type="containsText" dxfId="2" priority="3" operator="between" text="Error">
      <formula>NOT(ISERROR(SEARCH("Error",N4)))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D6" sqref="D6"/>
    </sheetView>
  </sheetViews>
  <sheetFormatPr defaultColWidth="8.47058823529412" defaultRowHeight="16.8" outlineLevelRow="5"/>
  <cols>
    <col min="1" max="1" width="13.1176470588235" style="1" customWidth="1"/>
    <col min="2" max="2" width="17.6397058823529" style="1" customWidth="1"/>
    <col min="3" max="3" width="17.8897058823529" style="1" customWidth="1"/>
    <col min="4" max="4" width="12.625" style="1" customWidth="1"/>
    <col min="5" max="5" width="13.4779411764706" style="1" customWidth="1"/>
    <col min="6" max="6" width="19.8529411764706" style="1" customWidth="1"/>
    <col min="7" max="7" width="18.6323529411765" style="2" customWidth="1"/>
    <col min="8" max="8" width="29.7794117647059" style="2" customWidth="1"/>
    <col min="9" max="9" width="16.4191176470588" style="1" customWidth="1"/>
    <col min="10" max="10" width="16.0588235294118" style="2" customWidth="1"/>
    <col min="11" max="11" width="29.5367647058824" style="2" customWidth="1"/>
    <col min="12" max="12" width="16.0514705882353" style="1" customWidth="1"/>
    <col min="13" max="13" width="23.0367647058824" style="1" customWidth="1"/>
    <col min="14" max="16" width="8.47058823529412" style="1"/>
    <col min="17" max="16384" width="8.47058823529412" style="3"/>
  </cols>
  <sheetData>
    <row r="1" customFormat="1" ht="34" customHeight="1" spans="1:16">
      <c r="A1" s="4" t="s">
        <v>80</v>
      </c>
      <c r="B1" s="4"/>
      <c r="C1" s="4"/>
      <c r="D1" s="4"/>
      <c r="E1" s="4"/>
      <c r="F1" s="4"/>
      <c r="G1" s="5"/>
      <c r="H1" s="5"/>
      <c r="I1" s="4"/>
      <c r="J1" s="5"/>
      <c r="K1" s="5"/>
      <c r="L1" s="4"/>
      <c r="M1" s="4"/>
      <c r="N1" s="4"/>
      <c r="O1" s="4"/>
      <c r="P1" s="4"/>
    </row>
    <row r="2" spans="1:16">
      <c r="A2" s="6" t="s">
        <v>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ht="17" spans="1:16">
      <c r="A3" s="7" t="s">
        <v>21</v>
      </c>
      <c r="B3" s="7" t="s">
        <v>22</v>
      </c>
      <c r="C3" s="7" t="s">
        <v>82</v>
      </c>
      <c r="D3" s="7" t="s">
        <v>83</v>
      </c>
      <c r="E3" s="7" t="s">
        <v>84</v>
      </c>
      <c r="F3" s="7" t="s">
        <v>85</v>
      </c>
      <c r="G3" s="8" t="s">
        <v>24</v>
      </c>
      <c r="H3" s="8" t="s">
        <v>86</v>
      </c>
      <c r="I3" s="7" t="s">
        <v>87</v>
      </c>
      <c r="J3" s="8" t="s">
        <v>30</v>
      </c>
      <c r="K3" s="8" t="s">
        <v>88</v>
      </c>
      <c r="L3" s="7" t="s">
        <v>33</v>
      </c>
      <c r="M3" s="7" t="s">
        <v>89</v>
      </c>
    </row>
    <row r="4" ht="68" spans="1:16">
      <c r="A4" s="1" t="s">
        <v>90</v>
      </c>
      <c r="B4" s="1" t="s">
        <v>37</v>
      </c>
      <c r="C4" s="1" t="s">
        <v>91</v>
      </c>
      <c r="D4" s="9">
        <v>46246</v>
      </c>
      <c r="E4" s="1" t="s">
        <v>92</v>
      </c>
      <c r="F4" s="1" t="s">
        <v>93</v>
      </c>
      <c r="G4" s="2" t="s">
        <v>94</v>
      </c>
      <c r="H4" s="2" t="s">
        <v>95</v>
      </c>
      <c r="I4" s="1" t="s">
        <v>96</v>
      </c>
      <c r="J4" s="2" t="s">
        <v>97</v>
      </c>
      <c r="K4" s="2" t="s">
        <v>98</v>
      </c>
      <c r="L4" s="1" t="s">
        <v>48</v>
      </c>
      <c r="M4" s="1" t="s">
        <v>99</v>
      </c>
    </row>
    <row r="5" ht="68" spans="1:16">
      <c r="A5" s="1" t="s">
        <v>100</v>
      </c>
      <c r="B5" s="1" t="s">
        <v>101</v>
      </c>
      <c r="C5" s="1" t="s">
        <v>102</v>
      </c>
      <c r="D5" s="9">
        <v>46246</v>
      </c>
      <c r="E5" s="1" t="s">
        <v>92</v>
      </c>
      <c r="F5" s="1" t="s">
        <v>93</v>
      </c>
      <c r="G5" s="2" t="s">
        <v>103</v>
      </c>
      <c r="H5" s="2" t="s">
        <v>104</v>
      </c>
      <c r="I5" s="1" t="s">
        <v>96</v>
      </c>
      <c r="J5" s="2" t="s">
        <v>105</v>
      </c>
      <c r="K5" s="2" t="s">
        <v>106</v>
      </c>
      <c r="L5" s="1" t="s">
        <v>48</v>
      </c>
      <c r="M5" s="1" t="s">
        <v>107</v>
      </c>
    </row>
    <row r="6" ht="68" spans="1:16">
      <c r="A6" s="1" t="s">
        <v>108</v>
      </c>
      <c r="B6" s="1" t="s">
        <v>65</v>
      </c>
      <c r="C6" s="1" t="s">
        <v>91</v>
      </c>
      <c r="D6" s="9">
        <v>46246</v>
      </c>
      <c r="E6" s="1" t="s">
        <v>92</v>
      </c>
      <c r="F6" s="1" t="s">
        <v>93</v>
      </c>
      <c r="G6" s="2" t="s">
        <v>109</v>
      </c>
      <c r="H6" s="2" t="s">
        <v>110</v>
      </c>
      <c r="I6" s="1" t="s">
        <v>111</v>
      </c>
      <c r="J6" s="2" t="s">
        <v>112</v>
      </c>
      <c r="K6" s="2" t="s">
        <v>113</v>
      </c>
      <c r="L6" s="1" t="s">
        <v>70</v>
      </c>
      <c r="M6" s="1" t="s">
        <v>114</v>
      </c>
    </row>
  </sheetData>
  <mergeCells count="2">
    <mergeCell ref="A1:P1"/>
    <mergeCell ref="A2:P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测试摘要</vt:lpstr>
      <vt:lpstr>测试用例</vt:lpstr>
      <vt:lpstr>手工测试记录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扎心小能手</cp:lastModifiedBy>
  <dcterms:created xsi:type="dcterms:W3CDTF">2026-08-13T14:20:56Z</dcterms:created>
  <dcterms:modified xsi:type="dcterms:W3CDTF">2026-08-13T15:06:49Z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FF7A890A2F29F202C7677D6A091FB115_42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